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are\Desktop\Data Science Analytics\TCC\Memorial Inteligente\docs\resultados\REV00\"/>
    </mc:Choice>
  </mc:AlternateContent>
  <xr:revisionPtr revIDLastSave="0" documentId="13_ncr:1_{EF9854E8-2EB3-450B-B0B2-5648052E0A3F}" xr6:coauthVersionLast="47" xr6:coauthVersionMax="47" xr10:uidLastSave="{00000000-0000-0000-0000-000000000000}"/>
  <bookViews>
    <workbookView xWindow="28680" yWindow="-120" windowWidth="24240" windowHeight="13140" firstSheet="3" activeTab="8" xr2:uid="{00000000-000D-0000-FFFF-FFFF00000000}"/>
  </bookViews>
  <sheets>
    <sheet name="Tabela 1" sheetId="1" r:id="rId1"/>
    <sheet name="Tabela 2" sheetId="3" r:id="rId2"/>
    <sheet name="Tabela 3" sheetId="5" r:id="rId3"/>
    <sheet name="Tabela 4" sheetId="4" r:id="rId4"/>
    <sheet name="Tabela 5" sheetId="6" r:id="rId5"/>
    <sheet name="Tabela 6" sheetId="8" r:id="rId6"/>
    <sheet name="Tabela 7" sheetId="7" r:id="rId7"/>
    <sheet name="Tabela 8" sheetId="9" r:id="rId8"/>
    <sheet name="Tabela 9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C3" i="8" s="1"/>
  <c r="B4" i="10"/>
  <c r="B5" i="10"/>
  <c r="B3" i="10"/>
  <c r="B7" i="9"/>
  <c r="B4" i="9"/>
  <c r="B5" i="9"/>
  <c r="B6" i="9"/>
  <c r="B3" i="9"/>
  <c r="B7" i="5"/>
  <c r="B5" i="5"/>
  <c r="B4" i="5"/>
  <c r="B3" i="5"/>
  <c r="B6" i="10" l="1"/>
  <c r="C3" i="5"/>
  <c r="C6" i="9"/>
  <c r="C5" i="9"/>
  <c r="C4" i="9"/>
  <c r="C3" i="9"/>
  <c r="C7" i="9" s="1"/>
  <c r="C5" i="5" l="1"/>
  <c r="C6" i="5"/>
  <c r="C4" i="5"/>
  <c r="C3" i="10"/>
  <c r="C5" i="8"/>
  <c r="C5" i="10" s="1"/>
  <c r="B7" i="6"/>
  <c r="C6" i="8"/>
  <c r="C4" i="8"/>
  <c r="C4" i="10" s="1"/>
  <c r="C6" i="10" l="1"/>
  <c r="C7" i="5"/>
  <c r="C7" i="8"/>
</calcChain>
</file>

<file path=xl/sharedStrings.xml><?xml version="1.0" encoding="utf-8"?>
<sst xmlns="http://schemas.openxmlformats.org/spreadsheetml/2006/main" count="93" uniqueCount="31">
  <si>
    <t>Parâmetro</t>
  </si>
  <si>
    <t>Finalidade no processo de orçamentação</t>
  </si>
  <si>
    <t>Escopo técnico</t>
  </si>
  <si>
    <t>Identificar os serviços e atividades contemplados na contratação.</t>
  </si>
  <si>
    <t>Local de execução</t>
  </si>
  <si>
    <t>Identificar o local previsto para realização dos serviços.</t>
  </si>
  <si>
    <t>Prazo de contrato</t>
  </si>
  <si>
    <t>Identificar a duração prevista para a contratação.</t>
  </si>
  <si>
    <t>Quantidade de profissionais</t>
  </si>
  <si>
    <t>Identificar a composição ou quantidade de profissionais prevista para execução dos serviços.</t>
  </si>
  <si>
    <t>Prazo de pagamento</t>
  </si>
  <si>
    <t>Identificar as condições ou prazo estabelecido para pagamento.</t>
  </si>
  <si>
    <t>Tabela 1. Pesquisa de natureza aplicada</t>
  </si>
  <si>
    <t>Tabela 2. Classificação dos resultados obtidos nos dez memoriais descritivos</t>
  </si>
  <si>
    <t>Critério</t>
  </si>
  <si>
    <t>Correto</t>
  </si>
  <si>
    <t>Parcial</t>
  </si>
  <si>
    <t>Incorreto</t>
  </si>
  <si>
    <t>Não aplicável</t>
  </si>
  <si>
    <t>Total</t>
  </si>
  <si>
    <t>Quantidade</t>
  </si>
  <si>
    <t>%</t>
  </si>
  <si>
    <t>Tabela 3. Classificação dos resultados obtidos nos dez memoriais descritivos, desconsiderando o parâmetro Não Aplicável</t>
  </si>
  <si>
    <t>Tabela 4. Desempenho do Memorial Inteligente por parâmetro avaliado</t>
  </si>
  <si>
    <t>Tabela 5. Classificação dos resultados obtidos na segunda etapa de experimentação</t>
  </si>
  <si>
    <t>Tabela 6. Classificação dos resultados obtidos nos dez memoriais descritivos na segunda etapa de experimentação, desconsiderando o parâmetro Não Aplicável</t>
  </si>
  <si>
    <t>Tabela 7. Desempenho do Memorial Inteligente por parâmetro avaliado na segunda etapa de experimentação</t>
  </si>
  <si>
    <t>1º etapa</t>
  </si>
  <si>
    <t>2º etapa</t>
  </si>
  <si>
    <t>Tabela 8. Comparação dos resultados obtidos nas etapas de experimentação</t>
  </si>
  <si>
    <t>Tabela 9. Comparação dos casos aplicáveis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</si>
</sst>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9" fontId="1" fillId="0" borderId="0" xfId="0" applyNumberFormat="1" applyFont="1" applyAlignment="1">
      <alignment horizontal="right" vertical="top" wrapText="1"/>
    </xf>
    <xf numFmtId="9" fontId="1" fillId="0" borderId="3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center" wrapText="1"/>
    </xf>
    <xf numFmtId="1" fontId="1" fillId="0" borderId="0" xfId="0" applyNumberFormat="1" applyFont="1" applyAlignment="1">
      <alignment horizontal="right" vertical="top" wrapText="1"/>
    </xf>
    <xf numFmtId="1" fontId="1" fillId="0" borderId="3" xfId="0" applyNumberFormat="1" applyFont="1" applyBorder="1" applyAlignment="1">
      <alignment horizontal="right" vertical="top" wrapText="1"/>
    </xf>
    <xf numFmtId="10" fontId="1" fillId="0" borderId="2" xfId="0" applyNumberFormat="1" applyFont="1" applyBorder="1" applyAlignment="1">
      <alignment horizontal="right" vertical="top" wrapText="1"/>
    </xf>
    <xf numFmtId="10" fontId="1" fillId="0" borderId="0" xfId="0" applyNumberFormat="1" applyFont="1" applyAlignment="1">
      <alignment horizontal="right" vertical="top" wrapText="1"/>
    </xf>
    <xf numFmtId="10" fontId="1" fillId="0" borderId="3" xfId="0" applyNumberFormat="1" applyFont="1" applyBorder="1" applyAlignment="1">
      <alignment horizontal="right" vertical="top" wrapText="1"/>
    </xf>
    <xf numFmtId="9" fontId="1" fillId="0" borderId="3" xfId="1" applyFont="1" applyBorder="1" applyAlignment="1">
      <alignment horizontal="right" vertical="top" wrapText="1"/>
    </xf>
    <xf numFmtId="10" fontId="1" fillId="0" borderId="2" xfId="1" applyNumberFormat="1" applyFont="1" applyBorder="1" applyAlignment="1">
      <alignment horizontal="right" vertical="top" wrapText="1"/>
    </xf>
    <xf numFmtId="10" fontId="1" fillId="0" borderId="0" xfId="1" applyNumberFormat="1" applyFont="1" applyAlignment="1">
      <alignment horizontal="right" vertical="top" wrapText="1"/>
    </xf>
    <xf numFmtId="10" fontId="1" fillId="0" borderId="3" xfId="1" applyNumberFormat="1" applyFont="1" applyBorder="1" applyAlignment="1">
      <alignment horizontal="right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B12" sqref="B12"/>
    </sheetView>
  </sheetViews>
  <sheetFormatPr defaultRowHeight="15" x14ac:dyDescent="0.25"/>
  <cols>
    <col min="1" max="1" width="26.42578125" bestFit="1" customWidth="1"/>
    <col min="2" max="2" width="57.42578125" customWidth="1"/>
  </cols>
  <sheetData>
    <row r="1" spans="1:2" x14ac:dyDescent="0.25">
      <c r="A1" s="1" t="s">
        <v>12</v>
      </c>
      <c r="B1" s="1"/>
    </row>
    <row r="2" spans="1:2" x14ac:dyDescent="0.25">
      <c r="A2" s="2" t="s">
        <v>0</v>
      </c>
      <c r="B2" s="2" t="s">
        <v>1</v>
      </c>
    </row>
    <row r="3" spans="1:2" ht="28.5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4" t="s">
        <v>6</v>
      </c>
      <c r="B5" s="4" t="s">
        <v>7</v>
      </c>
    </row>
    <row r="6" spans="1:2" ht="28.5" x14ac:dyDescent="0.25">
      <c r="A6" s="4" t="s">
        <v>8</v>
      </c>
      <c r="B6" s="4" t="s">
        <v>9</v>
      </c>
    </row>
    <row r="7" spans="1:2" ht="28.5" x14ac:dyDescent="0.25">
      <c r="A7" s="5" t="s">
        <v>10</v>
      </c>
      <c r="B7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9169-EC78-46DF-BF8E-506018E704E2}">
  <dimension ref="A1:C7"/>
  <sheetViews>
    <sheetView showGridLines="0" topLeftCell="A4" workbookViewId="0">
      <selection activeCell="B36" sqref="B36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13</v>
      </c>
      <c r="B1" s="6"/>
      <c r="C1" s="1"/>
    </row>
    <row r="2" spans="1:3" x14ac:dyDescent="0.25">
      <c r="A2" s="7" t="s">
        <v>14</v>
      </c>
      <c r="B2" s="2" t="s">
        <v>20</v>
      </c>
      <c r="C2" s="2" t="s">
        <v>21</v>
      </c>
    </row>
    <row r="3" spans="1:3" x14ac:dyDescent="0.25">
      <c r="A3" s="3" t="s">
        <v>15</v>
      </c>
      <c r="B3" s="9">
        <v>7</v>
      </c>
      <c r="C3" s="17">
        <v>0.14000000000000001</v>
      </c>
    </row>
    <row r="4" spans="1:3" x14ac:dyDescent="0.25">
      <c r="A4" s="4" t="s">
        <v>16</v>
      </c>
      <c r="B4" s="10">
        <v>19</v>
      </c>
      <c r="C4" s="18">
        <v>0.38</v>
      </c>
    </row>
    <row r="5" spans="1:3" x14ac:dyDescent="0.25">
      <c r="A5" s="4" t="s">
        <v>17</v>
      </c>
      <c r="B5" s="10">
        <v>14</v>
      </c>
      <c r="C5" s="18">
        <v>0.28000000000000003</v>
      </c>
    </row>
    <row r="6" spans="1:3" x14ac:dyDescent="0.25">
      <c r="A6" s="4" t="s">
        <v>18</v>
      </c>
      <c r="B6" s="10">
        <v>10</v>
      </c>
      <c r="C6" s="18">
        <v>0.2</v>
      </c>
    </row>
    <row r="7" spans="1:3" x14ac:dyDescent="0.25">
      <c r="A7" s="5" t="s">
        <v>19</v>
      </c>
      <c r="B7" s="11">
        <v>50</v>
      </c>
      <c r="C7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4A39-3962-4C5F-8A66-452A7C16ADDD}">
  <dimension ref="A1:C7"/>
  <sheetViews>
    <sheetView showGridLines="0" workbookViewId="0">
      <selection activeCell="F25" sqref="F25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22</v>
      </c>
      <c r="B1" s="6"/>
      <c r="C1" s="1"/>
    </row>
    <row r="2" spans="1:3" x14ac:dyDescent="0.25">
      <c r="A2" s="7" t="s">
        <v>14</v>
      </c>
      <c r="B2" s="2" t="s">
        <v>20</v>
      </c>
      <c r="C2" s="2" t="s">
        <v>21</v>
      </c>
    </row>
    <row r="3" spans="1:3" x14ac:dyDescent="0.25">
      <c r="A3" s="3" t="s">
        <v>15</v>
      </c>
      <c r="B3" s="9">
        <f>'Tabela 2'!B3</f>
        <v>7</v>
      </c>
      <c r="C3" s="17">
        <f>B3/$B$7</f>
        <v>0.17499999999999999</v>
      </c>
    </row>
    <row r="4" spans="1:3" x14ac:dyDescent="0.25">
      <c r="A4" s="4" t="s">
        <v>16</v>
      </c>
      <c r="B4" s="10">
        <f>'Tabela 2'!B4</f>
        <v>19</v>
      </c>
      <c r="C4" s="18">
        <f t="shared" ref="C4:C6" si="0">B4/$B$7</f>
        <v>0.47499999999999998</v>
      </c>
    </row>
    <row r="5" spans="1:3" x14ac:dyDescent="0.25">
      <c r="A5" s="4" t="s">
        <v>17</v>
      </c>
      <c r="B5" s="10">
        <f>'Tabela 2'!B5</f>
        <v>14</v>
      </c>
      <c r="C5" s="18">
        <f t="shared" si="0"/>
        <v>0.35</v>
      </c>
    </row>
    <row r="6" spans="1:3" hidden="1" x14ac:dyDescent="0.25">
      <c r="A6" s="4" t="s">
        <v>18</v>
      </c>
      <c r="B6" s="10"/>
      <c r="C6" s="12">
        <f t="shared" si="0"/>
        <v>0</v>
      </c>
    </row>
    <row r="7" spans="1:3" x14ac:dyDescent="0.25">
      <c r="A7" s="5" t="s">
        <v>19</v>
      </c>
      <c r="B7" s="11">
        <f>SUM(B3:B6)</f>
        <v>40</v>
      </c>
      <c r="C7" s="13">
        <f>SUM(C2:C5)</f>
        <v>0.99999999999999989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C15C-6940-4CF8-8EBF-07DBE7DA05E3}">
  <dimension ref="A1:E7"/>
  <sheetViews>
    <sheetView showGridLines="0" workbookViewId="0">
      <selection activeCell="J10" sqref="J10"/>
    </sheetView>
  </sheetViews>
  <sheetFormatPr defaultRowHeight="15" x14ac:dyDescent="0.25"/>
  <cols>
    <col min="1" max="1" width="31.42578125" style="8" customWidth="1"/>
    <col min="2" max="2" width="10.28515625" style="8" customWidth="1"/>
    <col min="3" max="3" width="7.42578125" style="8" bestFit="1" customWidth="1"/>
    <col min="4" max="4" width="9.140625" style="8" bestFit="1" customWidth="1"/>
    <col min="5" max="5" width="13.42578125" bestFit="1" customWidth="1"/>
  </cols>
  <sheetData>
    <row r="1" spans="1:5" x14ac:dyDescent="0.25">
      <c r="A1" s="6" t="s">
        <v>23</v>
      </c>
      <c r="B1" s="6"/>
      <c r="C1" s="6"/>
      <c r="D1" s="6"/>
      <c r="E1" s="6"/>
    </row>
    <row r="2" spans="1:5" x14ac:dyDescent="0.25">
      <c r="A2" s="7" t="s">
        <v>0</v>
      </c>
      <c r="B2" s="2" t="s">
        <v>15</v>
      </c>
      <c r="C2" s="2" t="s">
        <v>16</v>
      </c>
      <c r="D2" s="2" t="s">
        <v>17</v>
      </c>
      <c r="E2" s="2" t="s">
        <v>18</v>
      </c>
    </row>
    <row r="3" spans="1:5" x14ac:dyDescent="0.25">
      <c r="A3" s="3" t="s">
        <v>2</v>
      </c>
      <c r="B3" s="14">
        <v>0</v>
      </c>
      <c r="C3" s="14">
        <v>9</v>
      </c>
      <c r="D3" s="14">
        <v>1</v>
      </c>
      <c r="E3" s="14">
        <v>0</v>
      </c>
    </row>
    <row r="4" spans="1:5" x14ac:dyDescent="0.25">
      <c r="A4" s="4" t="s">
        <v>4</v>
      </c>
      <c r="B4" s="10">
        <v>3</v>
      </c>
      <c r="C4" s="10">
        <v>4</v>
      </c>
      <c r="D4" s="10">
        <v>3</v>
      </c>
      <c r="E4" s="15">
        <v>0</v>
      </c>
    </row>
    <row r="5" spans="1:5" x14ac:dyDescent="0.25">
      <c r="A5" s="4" t="s">
        <v>6</v>
      </c>
      <c r="B5" s="10">
        <v>3</v>
      </c>
      <c r="C5" s="10">
        <v>1</v>
      </c>
      <c r="D5" s="10">
        <v>5</v>
      </c>
      <c r="E5" s="15">
        <v>1</v>
      </c>
    </row>
    <row r="6" spans="1:5" x14ac:dyDescent="0.25">
      <c r="A6" s="4" t="s">
        <v>8</v>
      </c>
      <c r="B6" s="10">
        <v>0</v>
      </c>
      <c r="C6" s="10">
        <v>5</v>
      </c>
      <c r="D6" s="10">
        <v>5</v>
      </c>
      <c r="E6" s="15">
        <v>0</v>
      </c>
    </row>
    <row r="7" spans="1:5" x14ac:dyDescent="0.25">
      <c r="A7" s="5" t="s">
        <v>10</v>
      </c>
      <c r="B7" s="11">
        <v>1</v>
      </c>
      <c r="C7" s="11">
        <v>0</v>
      </c>
      <c r="D7" s="11">
        <v>0</v>
      </c>
      <c r="E7" s="16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51B8-B2D0-43CC-906F-AB2C77FD730D}">
  <dimension ref="A1:C7"/>
  <sheetViews>
    <sheetView showGridLines="0" workbookViewId="0">
      <selection activeCell="C5" sqref="C5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24</v>
      </c>
      <c r="B1" s="6"/>
      <c r="C1" s="1"/>
    </row>
    <row r="2" spans="1:3" x14ac:dyDescent="0.25">
      <c r="A2" s="7" t="s">
        <v>14</v>
      </c>
      <c r="B2" s="2" t="s">
        <v>20</v>
      </c>
      <c r="C2" s="2" t="s">
        <v>21</v>
      </c>
    </row>
    <row r="3" spans="1:3" x14ac:dyDescent="0.25">
      <c r="A3" s="3" t="s">
        <v>15</v>
      </c>
      <c r="B3" s="9">
        <v>30</v>
      </c>
      <c r="C3" s="17">
        <v>0.6</v>
      </c>
    </row>
    <row r="4" spans="1:3" x14ac:dyDescent="0.25">
      <c r="A4" s="4" t="s">
        <v>16</v>
      </c>
      <c r="B4" s="10">
        <v>6</v>
      </c>
      <c r="C4" s="18">
        <v>0.12</v>
      </c>
    </row>
    <row r="5" spans="1:3" x14ac:dyDescent="0.25">
      <c r="A5" s="4" t="s">
        <v>17</v>
      </c>
      <c r="B5" s="10">
        <v>4</v>
      </c>
      <c r="C5" s="18">
        <v>0.08</v>
      </c>
    </row>
    <row r="6" spans="1:3" x14ac:dyDescent="0.25">
      <c r="A6" s="4" t="s">
        <v>18</v>
      </c>
      <c r="B6" s="10">
        <v>10</v>
      </c>
      <c r="C6" s="18">
        <v>0.2</v>
      </c>
    </row>
    <row r="7" spans="1:3" x14ac:dyDescent="0.25">
      <c r="A7" s="5" t="s">
        <v>19</v>
      </c>
      <c r="B7" s="11">
        <f>SUM(B3:B6)</f>
        <v>50</v>
      </c>
      <c r="C7" s="1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3DA0-115F-469F-8DA3-EF383043FECD}">
  <dimension ref="A1:C7"/>
  <sheetViews>
    <sheetView showGridLines="0" workbookViewId="0">
      <selection activeCell="C4" sqref="C4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25</v>
      </c>
      <c r="B1" s="6"/>
      <c r="C1" s="1"/>
    </row>
    <row r="2" spans="1:3" x14ac:dyDescent="0.25">
      <c r="A2" s="7" t="s">
        <v>14</v>
      </c>
      <c r="B2" s="2" t="s">
        <v>20</v>
      </c>
      <c r="C2" s="2" t="s">
        <v>21</v>
      </c>
    </row>
    <row r="3" spans="1:3" x14ac:dyDescent="0.25">
      <c r="A3" s="3" t="s">
        <v>15</v>
      </c>
      <c r="B3" s="9">
        <v>30</v>
      </c>
      <c r="C3" s="17">
        <f>B3/$B$7</f>
        <v>0.75</v>
      </c>
    </row>
    <row r="4" spans="1:3" x14ac:dyDescent="0.25">
      <c r="A4" s="4" t="s">
        <v>16</v>
      </c>
      <c r="B4" s="10">
        <v>6</v>
      </c>
      <c r="C4" s="18">
        <f t="shared" ref="C4:C6" si="0">B4/$B$7</f>
        <v>0.15</v>
      </c>
    </row>
    <row r="5" spans="1:3" x14ac:dyDescent="0.25">
      <c r="A5" s="4" t="s">
        <v>17</v>
      </c>
      <c r="B5" s="10">
        <v>4</v>
      </c>
      <c r="C5" s="18">
        <f>B5/$B$7</f>
        <v>0.1</v>
      </c>
    </row>
    <row r="6" spans="1:3" hidden="1" x14ac:dyDescent="0.25">
      <c r="A6" s="4" t="s">
        <v>18</v>
      </c>
      <c r="B6" s="10">
        <v>8</v>
      </c>
      <c r="C6" s="18">
        <f t="shared" si="0"/>
        <v>0.2</v>
      </c>
    </row>
    <row r="7" spans="1:3" x14ac:dyDescent="0.25">
      <c r="A7" s="5" t="s">
        <v>19</v>
      </c>
      <c r="B7" s="11">
        <f>SUM(B3:B5)</f>
        <v>40</v>
      </c>
      <c r="C7" s="19">
        <f>SUM(C2:C5)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1BDA-11E2-4DF4-80B2-E74BBFCEF5C0}">
  <dimension ref="A1:L7"/>
  <sheetViews>
    <sheetView showGridLines="0" workbookViewId="0">
      <selection activeCell="A19" sqref="A19"/>
    </sheetView>
  </sheetViews>
  <sheetFormatPr defaultRowHeight="15" x14ac:dyDescent="0.25"/>
  <cols>
    <col min="1" max="1" width="31.42578125" style="8" customWidth="1"/>
    <col min="2" max="2" width="14" style="8" customWidth="1"/>
    <col min="3" max="3" width="7.42578125" style="8" bestFit="1" customWidth="1"/>
    <col min="4" max="4" width="9.140625" style="8" bestFit="1" customWidth="1"/>
    <col min="5" max="5" width="13.42578125" bestFit="1" customWidth="1"/>
  </cols>
  <sheetData>
    <row r="1" spans="1:12" x14ac:dyDescent="0.25">
      <c r="A1" s="6" t="s">
        <v>26</v>
      </c>
      <c r="B1" s="6"/>
      <c r="C1" s="6"/>
      <c r="D1" s="6"/>
      <c r="E1" s="6"/>
    </row>
    <row r="2" spans="1:12" x14ac:dyDescent="0.25">
      <c r="A2" s="7" t="s">
        <v>0</v>
      </c>
      <c r="B2" s="2" t="s">
        <v>15</v>
      </c>
      <c r="C2" s="2" t="s">
        <v>16</v>
      </c>
      <c r="D2" s="2" t="s">
        <v>17</v>
      </c>
      <c r="E2" s="2" t="s">
        <v>18</v>
      </c>
    </row>
    <row r="3" spans="1:12" x14ac:dyDescent="0.25">
      <c r="A3" s="3" t="s">
        <v>2</v>
      </c>
      <c r="B3" s="14">
        <v>9</v>
      </c>
      <c r="C3" s="14">
        <v>0</v>
      </c>
      <c r="D3" s="14">
        <v>1</v>
      </c>
      <c r="E3" s="14">
        <v>0</v>
      </c>
      <c r="L3" t="s">
        <v>2</v>
      </c>
    </row>
    <row r="4" spans="1:12" x14ac:dyDescent="0.25">
      <c r="A4" s="4" t="s">
        <v>4</v>
      </c>
      <c r="B4" s="10">
        <v>8</v>
      </c>
      <c r="C4" s="10">
        <v>1</v>
      </c>
      <c r="D4" s="10">
        <v>1</v>
      </c>
      <c r="E4" s="15">
        <v>0</v>
      </c>
      <c r="L4" t="s">
        <v>4</v>
      </c>
    </row>
    <row r="5" spans="1:12" x14ac:dyDescent="0.25">
      <c r="A5" s="4" t="s">
        <v>6</v>
      </c>
      <c r="B5" s="10">
        <v>8</v>
      </c>
      <c r="C5" s="10">
        <v>0</v>
      </c>
      <c r="D5" s="10">
        <v>1</v>
      </c>
      <c r="E5" s="15">
        <v>1</v>
      </c>
      <c r="L5" t="s">
        <v>6</v>
      </c>
    </row>
    <row r="6" spans="1:12" x14ac:dyDescent="0.25">
      <c r="A6" s="4" t="s">
        <v>8</v>
      </c>
      <c r="B6" s="10">
        <v>5</v>
      </c>
      <c r="C6" s="10">
        <v>5</v>
      </c>
      <c r="D6" s="10">
        <v>0</v>
      </c>
      <c r="E6" s="15">
        <v>0</v>
      </c>
      <c r="L6" t="s">
        <v>8</v>
      </c>
    </row>
    <row r="7" spans="1:12" x14ac:dyDescent="0.25">
      <c r="A7" s="5" t="s">
        <v>10</v>
      </c>
      <c r="B7" s="11">
        <v>0</v>
      </c>
      <c r="C7" s="11">
        <v>0</v>
      </c>
      <c r="D7" s="11">
        <v>1</v>
      </c>
      <c r="E7" s="16">
        <v>9</v>
      </c>
      <c r="L7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36DB-EE33-41F3-A1BC-673383F845B3}">
  <dimension ref="A1:C7"/>
  <sheetViews>
    <sheetView showGridLines="0" workbookViewId="0">
      <selection activeCell="C5" sqref="C5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29</v>
      </c>
      <c r="B1" s="6"/>
      <c r="C1" s="1"/>
    </row>
    <row r="2" spans="1:3" x14ac:dyDescent="0.25">
      <c r="A2" s="7" t="s">
        <v>14</v>
      </c>
      <c r="B2" s="2" t="s">
        <v>27</v>
      </c>
      <c r="C2" s="2" t="s">
        <v>28</v>
      </c>
    </row>
    <row r="3" spans="1:3" x14ac:dyDescent="0.25">
      <c r="A3" s="3" t="s">
        <v>15</v>
      </c>
      <c r="B3" s="9">
        <f>'Tabela 2'!$B3</f>
        <v>7</v>
      </c>
      <c r="C3" s="9">
        <f>'Tabela 5'!B3</f>
        <v>30</v>
      </c>
    </row>
    <row r="4" spans="1:3" x14ac:dyDescent="0.25">
      <c r="A4" s="4" t="s">
        <v>16</v>
      </c>
      <c r="B4" s="10">
        <f>'Tabela 2'!$B4</f>
        <v>19</v>
      </c>
      <c r="C4" s="10">
        <f>'Tabela 5'!B4</f>
        <v>6</v>
      </c>
    </row>
    <row r="5" spans="1:3" x14ac:dyDescent="0.25">
      <c r="A5" s="4" t="s">
        <v>17</v>
      </c>
      <c r="B5" s="10">
        <f>'Tabela 2'!$B5</f>
        <v>14</v>
      </c>
      <c r="C5" s="10">
        <f>'Tabela 5'!B5</f>
        <v>4</v>
      </c>
    </row>
    <row r="6" spans="1:3" x14ac:dyDescent="0.25">
      <c r="A6" s="4" t="s">
        <v>18</v>
      </c>
      <c r="B6" s="10">
        <f>'Tabela 2'!$B6</f>
        <v>10</v>
      </c>
      <c r="C6" s="10">
        <f>'Tabela 5'!B6</f>
        <v>10</v>
      </c>
    </row>
    <row r="7" spans="1:3" x14ac:dyDescent="0.25">
      <c r="A7" s="5" t="s">
        <v>19</v>
      </c>
      <c r="B7" s="11">
        <f>SUM(B3:B6)</f>
        <v>50</v>
      </c>
      <c r="C7" s="11">
        <f>SUM(C2:C6)</f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E7B1-FA72-4F73-9A22-31EE35F6048A}">
  <dimension ref="A1:C6"/>
  <sheetViews>
    <sheetView showGridLines="0" tabSelected="1" workbookViewId="0">
      <selection activeCell="C10" sqref="C10"/>
    </sheetView>
  </sheetViews>
  <sheetFormatPr defaultRowHeight="15" x14ac:dyDescent="0.25"/>
  <cols>
    <col min="1" max="2" width="27.42578125" style="8" customWidth="1"/>
    <col min="3" max="3" width="27.42578125" customWidth="1"/>
  </cols>
  <sheetData>
    <row r="1" spans="1:3" x14ac:dyDescent="0.25">
      <c r="A1" s="6" t="s">
        <v>30</v>
      </c>
      <c r="B1" s="6"/>
      <c r="C1" s="1"/>
    </row>
    <row r="2" spans="1:3" x14ac:dyDescent="0.25">
      <c r="A2" s="7" t="s">
        <v>14</v>
      </c>
      <c r="B2" s="2" t="s">
        <v>27</v>
      </c>
      <c r="C2" s="2" t="s">
        <v>28</v>
      </c>
    </row>
    <row r="3" spans="1:3" x14ac:dyDescent="0.25">
      <c r="A3" s="3" t="s">
        <v>15</v>
      </c>
      <c r="B3" s="21">
        <f>'Tabela 3'!C3</f>
        <v>0.17499999999999999</v>
      </c>
      <c r="C3" s="17">
        <f>'Tabela 6'!C3</f>
        <v>0.75</v>
      </c>
    </row>
    <row r="4" spans="1:3" x14ac:dyDescent="0.25">
      <c r="A4" s="4" t="s">
        <v>16</v>
      </c>
      <c r="B4" s="22">
        <f>'Tabela 3'!C4</f>
        <v>0.47499999999999998</v>
      </c>
      <c r="C4" s="18">
        <f>'Tabela 6'!C4</f>
        <v>0.15</v>
      </c>
    </row>
    <row r="5" spans="1:3" x14ac:dyDescent="0.25">
      <c r="A5" s="4" t="s">
        <v>17</v>
      </c>
      <c r="B5" s="22">
        <f>'Tabela 3'!C5</f>
        <v>0.35</v>
      </c>
      <c r="C5" s="18">
        <f>'Tabela 6'!C5</f>
        <v>0.1</v>
      </c>
    </row>
    <row r="6" spans="1:3" x14ac:dyDescent="0.25">
      <c r="A6" s="5" t="s">
        <v>19</v>
      </c>
      <c r="B6" s="23">
        <f>SUM(B3:B5)</f>
        <v>0.99999999999999989</v>
      </c>
      <c r="C6" s="20">
        <f>SUM(C2:C5)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Sousa</dc:creator>
  <cp:lastModifiedBy>Eduardo Sousa</cp:lastModifiedBy>
  <dcterms:created xsi:type="dcterms:W3CDTF">2015-06-05T18:19:34Z</dcterms:created>
  <dcterms:modified xsi:type="dcterms:W3CDTF">2026-09-23T02:36:01Z</dcterms:modified>
</cp:coreProperties>
</file>